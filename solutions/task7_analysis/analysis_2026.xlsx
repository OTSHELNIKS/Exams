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Месячная выручка" sheetId="2" state="visible" r:id="rId2"/>
    <sheet xmlns:r="http://schemas.openxmlformats.org/officeDocument/2006/relationships" name="Итоги" sheetId="3" state="visible" r:id="rId3"/>
    <sheet xmlns:r="http://schemas.openxmlformats.org/officeDocument/2006/relationships" name="Журнал очис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месячной выручки за 2026 год</a:t>
            </a:r>
          </a:p>
        </rich>
      </tx>
    </title>
    <plotArea>
      <lineChart>
        <grouping val="standard"/>
        <ser>
          <idx val="0"/>
          <order val="0"/>
          <tx>
            <strRef>
              <f>'Месячная выручка'!B1</f>
            </strRef>
          </tx>
          <spPr>
            <a:ln xmlns:a="http://schemas.openxmlformats.org/drawingml/2006/main" w="28575">
              <a:solidFill>
                <a:srgbClr val="405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'Месячная выручка'!$A$2:$A$13</f>
            </numRef>
          </cat>
          <val>
            <numRef>
              <f>'Месячная выручка'!$B$2:$B$13</f>
            </numRef>
          </val>
        </ser>
        <ser>
          <idx val="1"/>
          <order val="1"/>
          <tx>
            <strRef>
              <f>'Месячная выручка'!F1</f>
            </strRef>
          </tx>
          <spPr>
            <a:ln xmlns:a="http://schemas.openxmlformats.org/drawingml/2006/main" w="19050">
              <a:solidFill>
                <a:srgbClr val="E0565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'Месячная выручка'!$A$2:$A$13</f>
            </numRef>
          </cat>
          <val>
            <numRef>
              <f>'Месячная выручка'!$F$2:$F$13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руб.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5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nalysisTransactions" displayName="AnalysisTransactions" ref="A1:I31" headerRowCount="1">
  <autoFilter ref="A1:I31"/>
  <tableColumns count="9">
    <tableColumn id="1" name="transaction_id"/>
    <tableColumn id="2" name="date"/>
    <tableColumn id="3" name="product"/>
    <tableColumn id="4" name="category"/>
    <tableColumn id="5" name="quantity"/>
    <tableColumn id="6" name="price"/>
    <tableColumn id="7" name="shop"/>
    <tableColumn id="8" name="manager"/>
    <tableColumn id="9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Revenue" displayName="MonthlyRevenue" ref="A1:F13" headerRowCount="1">
  <autoFilter ref="A1:F13"/>
  <tableColumns count="6">
    <tableColumn id="1" name="Месяц"/>
    <tableColumn id="2" name="Выручка, руб."/>
    <tableColumn id="3" name="Доля годовой выручки, %"/>
    <tableColumn id="4" name="Изменение к предыдущему месяцу, руб."/>
    <tableColumn id="5" name="Изменение к предыдущему месяцу, %"/>
    <tableColumn id="6" name="Среднее за месяц, руб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eaningLog" displayName="CleaningLog" ref="A1:E48" headerRowCount="1">
  <autoFilter ref="A1:E48"/>
  <tableColumns count="5">
    <tableColumn id="1" name="Строка Excel"/>
    <tableColumn id="2" name="transaction_id"/>
    <tableColumn id="3" name="Поле"/>
    <tableColumn id="4" name="Исходное значение"/>
    <tableColumn id="5" name="Очищенное зна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4" customWidth="1" min="3" max="3"/>
    <col width="30" customWidth="1" min="4" max="4"/>
    <col width="13" customWidth="1" min="5" max="5"/>
    <col width="14" customWidth="1" min="6" max="6"/>
    <col width="22" customWidth="1" min="7" max="7"/>
    <col width="22" customWidth="1" min="8" max="8"/>
    <col width="18" customWidth="1" min="9" max="9"/>
  </cols>
  <sheetData>
    <row r="1" ht="30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shop</t>
        </is>
      </c>
      <c r="H1" s="1" t="inlineStr">
        <is>
          <t>manager</t>
        </is>
      </c>
      <c r="I1" s="1" t="inlineStr">
        <is>
          <t>revenue</t>
        </is>
      </c>
    </row>
    <row r="2">
      <c r="A2" t="inlineStr">
        <is>
          <t>TXN-0001</t>
        </is>
      </c>
      <c r="B2" s="2" t="n">
        <v>46355</v>
      </c>
      <c r="C2" t="inlineStr">
        <is>
          <t>Утюг Philips</t>
        </is>
      </c>
      <c r="D2" t="inlineStr">
        <is>
          <t>Мелкая бытовая техника</t>
        </is>
      </c>
      <c r="E2" s="3" t="n">
        <v>2</v>
      </c>
      <c r="F2" s="3" t="n">
        <v>897270</v>
      </c>
      <c r="G2" t="inlineStr">
        <is>
          <t>Яндекс.Маркет</t>
        </is>
      </c>
      <c r="H2" t="inlineStr">
        <is>
          <t>Иванов И.И.</t>
        </is>
      </c>
      <c r="I2" s="3" t="n">
        <v>1794540</v>
      </c>
    </row>
    <row r="3">
      <c r="A3" t="inlineStr">
        <is>
          <t>TXN-0002</t>
        </is>
      </c>
      <c r="B3" s="2" t="n">
        <v>46135</v>
      </c>
      <c r="C3" t="inlineStr">
        <is>
          <t>Микроволновая печь Midea</t>
        </is>
      </c>
      <c r="D3" t="inlineStr">
        <is>
          <t>Мелкая бытовая техника</t>
        </is>
      </c>
      <c r="E3" s="3" t="n">
        <v>3</v>
      </c>
      <c r="F3" s="3" t="n">
        <v>87873</v>
      </c>
      <c r="G3" t="inlineStr">
        <is>
          <t>Эльдорадо</t>
        </is>
      </c>
      <c r="H3" t="inlineStr">
        <is>
          <t>Смирнова Е.В.</t>
        </is>
      </c>
      <c r="I3" s="3" t="n">
        <v>263619</v>
      </c>
    </row>
    <row r="4">
      <c r="A4" t="inlineStr">
        <is>
          <t>TXN-0008</t>
        </is>
      </c>
      <c r="B4" s="2" t="n">
        <v>46070</v>
      </c>
      <c r="C4" t="inlineStr">
        <is>
          <t>Утюг Philips</t>
        </is>
      </c>
      <c r="D4" t="inlineStr">
        <is>
          <t>Мелкая бытовая техника</t>
        </is>
      </c>
      <c r="E4" s="3" t="n">
        <v>2</v>
      </c>
      <c r="F4" s="3" t="n">
        <v>77004</v>
      </c>
      <c r="G4" t="inlineStr">
        <is>
          <t>Эльдорадо</t>
        </is>
      </c>
      <c r="H4" t="inlineStr">
        <is>
          <t>Иванов И.И.</t>
        </is>
      </c>
      <c r="I4" s="3" t="n">
        <v>154008</v>
      </c>
    </row>
    <row r="5">
      <c r="A5" t="inlineStr">
        <is>
          <t>TXN-0012</t>
        </is>
      </c>
      <c r="B5" s="2" t="n">
        <v>46045</v>
      </c>
      <c r="C5" t="inlineStr">
        <is>
          <t>Утюг Philips</t>
        </is>
      </c>
      <c r="D5" t="inlineStr">
        <is>
          <t>Мелкая бытовая техника</t>
        </is>
      </c>
      <c r="E5" s="3" t="n">
        <v>3</v>
      </c>
      <c r="F5" s="3" t="n">
        <v>137995</v>
      </c>
      <c r="G5" t="inlineStr">
        <is>
          <t>Яндекс.Маркет</t>
        </is>
      </c>
      <c r="H5" t="inlineStr">
        <is>
          <t>Сидоров В.К.</t>
        </is>
      </c>
      <c r="I5" s="3" t="n">
        <v>413985</v>
      </c>
    </row>
    <row r="6">
      <c r="A6" t="inlineStr">
        <is>
          <t>TXN-0030</t>
        </is>
      </c>
      <c r="B6" s="2" t="n">
        <v>46106</v>
      </c>
      <c r="C6" t="inlineStr">
        <is>
          <t>Чайник Kitfort</t>
        </is>
      </c>
      <c r="D6" t="inlineStr">
        <is>
          <t>Мелкая бытовая техника</t>
        </is>
      </c>
      <c r="E6" s="3" t="n">
        <v>3</v>
      </c>
      <c r="F6" s="3" t="n">
        <v>129683</v>
      </c>
      <c r="G6" t="inlineStr">
        <is>
          <t>Эльдорадо</t>
        </is>
      </c>
      <c r="H6" t="inlineStr">
        <is>
          <t>Иванов И.И.</t>
        </is>
      </c>
      <c r="I6" s="3" t="n">
        <v>389049</v>
      </c>
    </row>
    <row r="7">
      <c r="A7" t="inlineStr">
        <is>
          <t>TXN-0039</t>
        </is>
      </c>
      <c r="B7" s="2" t="n">
        <v>46131</v>
      </c>
      <c r="C7" t="inlineStr">
        <is>
          <t>Утюг Philips</t>
        </is>
      </c>
      <c r="D7" t="inlineStr">
        <is>
          <t>Мелкая бытовая техника</t>
        </is>
      </c>
      <c r="E7" s="3" t="n">
        <v>1</v>
      </c>
      <c r="F7" s="3" t="n">
        <v>50235</v>
      </c>
      <c r="G7" t="inlineStr">
        <is>
          <t>ДНС</t>
        </is>
      </c>
      <c r="H7" t="inlineStr">
        <is>
          <t>Сидоров В.К.</t>
        </is>
      </c>
      <c r="I7" s="3" t="n">
        <v>50235</v>
      </c>
    </row>
    <row r="8">
      <c r="A8" t="inlineStr">
        <is>
          <t>TXN-0040</t>
        </is>
      </c>
      <c r="B8" s="2" t="n">
        <v>46225</v>
      </c>
      <c r="C8" t="inlineStr">
        <is>
          <t>Пылесос Dyson</t>
        </is>
      </c>
      <c r="D8" t="inlineStr">
        <is>
          <t>Пылесосы</t>
        </is>
      </c>
      <c r="E8" s="3" t="n">
        <v>2</v>
      </c>
      <c r="F8" s="3" t="n">
        <v>15260</v>
      </c>
      <c r="G8" t="inlineStr">
        <is>
          <t>ДНС</t>
        </is>
      </c>
      <c r="H8" t="inlineStr">
        <is>
          <t>Сидоров В.К.</t>
        </is>
      </c>
      <c r="I8" s="3" t="n">
        <v>30520</v>
      </c>
    </row>
    <row r="9">
      <c r="A9" t="inlineStr">
        <is>
          <t>TXN-0044</t>
        </is>
      </c>
      <c r="B9" s="2" t="n">
        <v>46322</v>
      </c>
      <c r="C9" t="inlineStr">
        <is>
          <t>Утюг Philips</t>
        </is>
      </c>
      <c r="D9" t="inlineStr">
        <is>
          <t>Мелкая бытовая техника</t>
        </is>
      </c>
      <c r="E9" s="3" t="n">
        <v>2</v>
      </c>
      <c r="F9" s="3" t="n">
        <v>142381</v>
      </c>
      <c r="G9" t="inlineStr">
        <is>
          <t>Эльдорадо</t>
        </is>
      </c>
      <c r="H9" t="inlineStr">
        <is>
          <t>Сидоров В.К.</t>
        </is>
      </c>
      <c r="I9" s="3" t="n">
        <v>284762</v>
      </c>
    </row>
    <row r="10">
      <c r="A10" t="inlineStr">
        <is>
          <t>TXN-0045</t>
        </is>
      </c>
      <c r="B10" s="2" t="n">
        <v>46321</v>
      </c>
      <c r="C10" t="inlineStr">
        <is>
          <t>Утюг Philips</t>
        </is>
      </c>
      <c r="D10" t="inlineStr">
        <is>
          <t>Мелкая бытовая техника</t>
        </is>
      </c>
      <c r="E10" s="3" t="n">
        <v>1</v>
      </c>
      <c r="F10" s="3" t="n">
        <v>142035</v>
      </c>
      <c r="G10" t="inlineStr">
        <is>
          <t>ДНС</t>
        </is>
      </c>
      <c r="H10" t="inlineStr">
        <is>
          <t>Смирнова Е.В.</t>
        </is>
      </c>
      <c r="I10" s="3" t="n">
        <v>142035</v>
      </c>
    </row>
    <row r="11">
      <c r="A11" t="inlineStr">
        <is>
          <t>TXN-0047</t>
        </is>
      </c>
      <c r="B11" s="2" t="n">
        <v>46093</v>
      </c>
      <c r="C11" t="inlineStr">
        <is>
          <t>Холодильник LG</t>
        </is>
      </c>
      <c r="D11" t="inlineStr">
        <is>
          <t>Холодильники</t>
        </is>
      </c>
      <c r="E11" s="3" t="n">
        <v>1</v>
      </c>
      <c r="F11" s="3" t="n">
        <v>100393</v>
      </c>
      <c r="G11" t="inlineStr">
        <is>
          <t>ДНС</t>
        </is>
      </c>
      <c r="H11" t="inlineStr">
        <is>
          <t>Иванов И.И.</t>
        </is>
      </c>
      <c r="I11" s="3" t="n">
        <v>100393</v>
      </c>
    </row>
    <row r="12">
      <c r="A12" t="inlineStr">
        <is>
          <t>TXN-0051</t>
        </is>
      </c>
      <c r="B12" s="2" t="n">
        <v>46371</v>
      </c>
      <c r="C12" t="inlineStr">
        <is>
          <t>Пылесос Dyson</t>
        </is>
      </c>
      <c r="D12" t="inlineStr">
        <is>
          <t>Пылесосы</t>
        </is>
      </c>
      <c r="E12" s="3" t="n">
        <v>1</v>
      </c>
      <c r="F12" s="3" t="n">
        <v>112156</v>
      </c>
      <c r="G12" t="inlineStr">
        <is>
          <t>Яндекс.Маркет</t>
        </is>
      </c>
      <c r="H12" t="inlineStr">
        <is>
          <t>Смирнова Е.В.</t>
        </is>
      </c>
      <c r="I12" s="3" t="n">
        <v>112156</v>
      </c>
    </row>
    <row r="13">
      <c r="A13" t="inlineStr">
        <is>
          <t>TXN-0053</t>
        </is>
      </c>
      <c r="B13" s="2" t="n">
        <v>46220</v>
      </c>
      <c r="C13" t="inlineStr">
        <is>
          <t>Стиральная машина Bosch</t>
        </is>
      </c>
      <c r="D13" t="inlineStr">
        <is>
          <t>Стиральные машины</t>
        </is>
      </c>
      <c r="E13" s="3" t="n">
        <v>3</v>
      </c>
      <c r="F13" s="3" t="n">
        <v>18727</v>
      </c>
      <c r="G13" t="inlineStr">
        <is>
          <t>Яндекс.Маркет</t>
        </is>
      </c>
      <c r="H13" t="inlineStr">
        <is>
          <t>Петрова А.С.</t>
        </is>
      </c>
      <c r="I13" s="3" t="n">
        <v>56181</v>
      </c>
    </row>
    <row r="14">
      <c r="A14" t="inlineStr">
        <is>
          <t>TXN-0075</t>
        </is>
      </c>
      <c r="B14" s="2" t="n">
        <v>46066</v>
      </c>
      <c r="C14" t="inlineStr">
        <is>
          <t>Пылесос Dyson</t>
        </is>
      </c>
      <c r="D14" t="inlineStr">
        <is>
          <t>Пылесосы</t>
        </is>
      </c>
      <c r="E14" s="3" t="n">
        <v>3</v>
      </c>
      <c r="F14" s="3" t="n">
        <v>294980</v>
      </c>
      <c r="G14" t="inlineStr">
        <is>
          <t>Эльдорадо</t>
        </is>
      </c>
      <c r="H14" t="inlineStr">
        <is>
          <t>Смирнова Е.В.</t>
        </is>
      </c>
      <c r="I14" s="3" t="n">
        <v>884940</v>
      </c>
    </row>
    <row r="15">
      <c r="A15" t="inlineStr">
        <is>
          <t>TXN-0077</t>
        </is>
      </c>
      <c r="B15" s="2" t="n">
        <v>46088</v>
      </c>
      <c r="C15" t="inlineStr">
        <is>
          <t>Чайник Kitfort</t>
        </is>
      </c>
      <c r="D15" t="inlineStr">
        <is>
          <t>Мелкая бытовая техника</t>
        </is>
      </c>
      <c r="E15" s="3" t="n">
        <v>3</v>
      </c>
      <c r="F15" s="3" t="n">
        <v>138297</v>
      </c>
      <c r="G15" t="inlineStr">
        <is>
          <t>Ситилинк</t>
        </is>
      </c>
      <c r="H15" t="inlineStr">
        <is>
          <t>Петрова А.С.</t>
        </is>
      </c>
      <c r="I15" s="3" t="n">
        <v>414891</v>
      </c>
    </row>
    <row r="16">
      <c r="A16" t="inlineStr">
        <is>
          <t>TXN-0083</t>
        </is>
      </c>
      <c r="B16" s="2" t="n">
        <v>46247</v>
      </c>
      <c r="C16" t="inlineStr">
        <is>
          <t>Телевизор Samsung 4K</t>
        </is>
      </c>
      <c r="D16" t="inlineStr">
        <is>
          <t>Телевизоры</t>
        </is>
      </c>
      <c r="E16" s="3" t="n">
        <v>2</v>
      </c>
      <c r="F16" s="3" t="n">
        <v>61149</v>
      </c>
      <c r="G16" t="inlineStr">
        <is>
          <t>Эльдорадо</t>
        </is>
      </c>
      <c r="H16" t="inlineStr">
        <is>
          <t>Смирнова Е.В.</t>
        </is>
      </c>
      <c r="I16" s="3" t="n">
        <v>122298</v>
      </c>
    </row>
    <row r="17">
      <c r="A17" t="inlineStr">
        <is>
          <t>TXN-0096</t>
        </is>
      </c>
      <c r="B17" s="2" t="n">
        <v>46315</v>
      </c>
      <c r="C17" t="inlineStr">
        <is>
          <t>Чайник Kitfort</t>
        </is>
      </c>
      <c r="D17" t="inlineStr">
        <is>
          <t>Мелкая бытовая техника</t>
        </is>
      </c>
      <c r="E17" s="3" t="n">
        <v>3</v>
      </c>
      <c r="F17" s="3" t="n">
        <v>14895</v>
      </c>
      <c r="G17" t="inlineStr">
        <is>
          <t>Ситилинк</t>
        </is>
      </c>
      <c r="H17" t="inlineStr">
        <is>
          <t>Сидоров В.К.</t>
        </is>
      </c>
      <c r="I17" s="3" t="n">
        <v>44685</v>
      </c>
    </row>
    <row r="18">
      <c r="A18" t="inlineStr">
        <is>
          <t>TXN-0097</t>
        </is>
      </c>
      <c r="B18" s="2" t="n">
        <v>46147</v>
      </c>
      <c r="C18" t="inlineStr">
        <is>
          <t>Чайник Kitfort</t>
        </is>
      </c>
      <c r="D18" t="inlineStr">
        <is>
          <t>Мелкая бытовая техника</t>
        </is>
      </c>
      <c r="E18" s="3" t="n">
        <v>3</v>
      </c>
      <c r="F18" s="3" t="n">
        <v>93280</v>
      </c>
      <c r="G18" t="inlineStr">
        <is>
          <t>М.Видео</t>
        </is>
      </c>
      <c r="H18" t="inlineStr">
        <is>
          <t>Смирнова Е.В.</t>
        </is>
      </c>
      <c r="I18" s="3" t="n">
        <v>279840</v>
      </c>
    </row>
    <row r="19">
      <c r="A19" t="inlineStr">
        <is>
          <t>TXN-0100</t>
        </is>
      </c>
      <c r="B19" s="2" t="n">
        <v>46360</v>
      </c>
      <c r="C19" t="inlineStr">
        <is>
          <t>Холодильник LG</t>
        </is>
      </c>
      <c r="D19" t="inlineStr">
        <is>
          <t>Холодильники</t>
        </is>
      </c>
      <c r="E19" s="3" t="n">
        <v>3</v>
      </c>
      <c r="F19" s="3" t="n">
        <v>45436</v>
      </c>
      <c r="G19" t="inlineStr">
        <is>
          <t>Ситилинк</t>
        </is>
      </c>
      <c r="H19" t="inlineStr">
        <is>
          <t>Иванов И.И.</t>
        </is>
      </c>
      <c r="I19" s="3" t="n">
        <v>136308</v>
      </c>
    </row>
    <row r="20">
      <c r="A20" t="inlineStr">
        <is>
          <t>TXN-0101</t>
        </is>
      </c>
      <c r="B20" s="2" t="n">
        <v>46204</v>
      </c>
      <c r="C20" t="inlineStr">
        <is>
          <t>Стиральная машина Bosch</t>
        </is>
      </c>
      <c r="D20" t="inlineStr">
        <is>
          <t>Стиральные машины</t>
        </is>
      </c>
      <c r="E20" s="3" t="n">
        <v>2</v>
      </c>
      <c r="F20" s="3" t="n">
        <v>47532</v>
      </c>
      <c r="G20" t="inlineStr">
        <is>
          <t>Эльдорадо</t>
        </is>
      </c>
      <c r="H20" t="inlineStr">
        <is>
          <t>Иванов И.И.</t>
        </is>
      </c>
      <c r="I20" s="3" t="n">
        <v>95064</v>
      </c>
    </row>
    <row r="21">
      <c r="A21" t="inlineStr">
        <is>
          <t>TXN-0102</t>
        </is>
      </c>
      <c r="B21" s="2" t="n">
        <v>46233</v>
      </c>
      <c r="C21" t="inlineStr">
        <is>
          <t>Пылесос Dyson</t>
        </is>
      </c>
      <c r="D21" t="inlineStr">
        <is>
          <t>Пылесосы</t>
        </is>
      </c>
      <c r="E21" s="3" t="n">
        <v>1</v>
      </c>
      <c r="F21" s="3" t="n">
        <v>52407</v>
      </c>
      <c r="G21" t="inlineStr">
        <is>
          <t>М.Видео</t>
        </is>
      </c>
      <c r="H21" t="inlineStr">
        <is>
          <t>Смирнова Е.В.</t>
        </is>
      </c>
      <c r="I21" s="3" t="n">
        <v>52407</v>
      </c>
    </row>
    <row r="22">
      <c r="A22" t="inlineStr">
        <is>
          <t>TXN-0104</t>
        </is>
      </c>
      <c r="B22" s="2" t="n">
        <v>46054</v>
      </c>
      <c r="C22" t="inlineStr">
        <is>
          <t>Чайник Kitfort</t>
        </is>
      </c>
      <c r="D22" t="inlineStr">
        <is>
          <t>Мелкая бытовая техника</t>
        </is>
      </c>
      <c r="E22" s="3" t="n">
        <v>2</v>
      </c>
      <c r="F22" s="3" t="n">
        <v>119733</v>
      </c>
      <c r="G22" t="inlineStr">
        <is>
          <t>Ситилинк</t>
        </is>
      </c>
      <c r="H22" t="inlineStr">
        <is>
          <t>Сидоров В.К.</t>
        </is>
      </c>
      <c r="I22" s="3" t="n">
        <v>239466</v>
      </c>
    </row>
    <row r="23">
      <c r="A23" t="inlineStr">
        <is>
          <t>TXN-0107</t>
        </is>
      </c>
      <c r="B23" s="2" t="n">
        <v>46120</v>
      </c>
      <c r="C23" t="inlineStr">
        <is>
          <t>Стиральная машина Bosch</t>
        </is>
      </c>
      <c r="D23" t="inlineStr">
        <is>
          <t>Стиральные машины</t>
        </is>
      </c>
      <c r="E23" s="3" t="n">
        <v>1</v>
      </c>
      <c r="F23" s="3" t="n">
        <v>100498</v>
      </c>
      <c r="G23" t="inlineStr">
        <is>
          <t>ДНС</t>
        </is>
      </c>
      <c r="H23" t="inlineStr">
        <is>
          <t>Сидоров В.К.</t>
        </is>
      </c>
      <c r="I23" s="3" t="n">
        <v>100498</v>
      </c>
    </row>
    <row r="24">
      <c r="A24" t="inlineStr">
        <is>
          <t>TXN-0108</t>
        </is>
      </c>
      <c r="B24" s="2" t="n">
        <v>46094</v>
      </c>
      <c r="C24" t="inlineStr">
        <is>
          <t>Чайник Kitfort</t>
        </is>
      </c>
      <c r="D24" t="inlineStr">
        <is>
          <t>Мелкая бытовая техника</t>
        </is>
      </c>
      <c r="E24" s="3" t="n">
        <v>1</v>
      </c>
      <c r="F24" s="3" t="n">
        <v>67267</v>
      </c>
      <c r="G24" t="inlineStr">
        <is>
          <t>М.Видео</t>
        </is>
      </c>
      <c r="H24" t="inlineStr">
        <is>
          <t>Иванов И.И.</t>
        </is>
      </c>
      <c r="I24" s="3" t="n">
        <v>67267</v>
      </c>
    </row>
    <row r="25">
      <c r="A25" t="inlineStr">
        <is>
          <t>TXN-0116</t>
        </is>
      </c>
      <c r="B25" s="2" t="n">
        <v>46271</v>
      </c>
      <c r="C25" t="inlineStr">
        <is>
          <t>Пылесос Dyson</t>
        </is>
      </c>
      <c r="D25" t="inlineStr">
        <is>
          <t>Пылесосы</t>
        </is>
      </c>
      <c r="E25" s="3" t="n">
        <v>1</v>
      </c>
      <c r="F25" s="3" t="n">
        <v>127949</v>
      </c>
      <c r="G25" t="inlineStr">
        <is>
          <t>Эльдорадо</t>
        </is>
      </c>
      <c r="H25" t="inlineStr">
        <is>
          <t>Смирнова Е.В.</t>
        </is>
      </c>
      <c r="I25" s="3" t="n">
        <v>127949</v>
      </c>
    </row>
    <row r="26">
      <c r="A26" t="inlineStr">
        <is>
          <t>TXN-0117</t>
        </is>
      </c>
      <c r="B26" s="2" t="n">
        <v>46132</v>
      </c>
      <c r="C26" t="inlineStr">
        <is>
          <t>Стиральная машина Bosch</t>
        </is>
      </c>
      <c r="D26" t="inlineStr">
        <is>
          <t>Стиральные машины</t>
        </is>
      </c>
      <c r="E26" s="3" t="n">
        <v>2</v>
      </c>
      <c r="F26" s="3" t="n">
        <v>55860</v>
      </c>
      <c r="G26" t="inlineStr">
        <is>
          <t>Эльдорадо</t>
        </is>
      </c>
      <c r="H26" t="inlineStr">
        <is>
          <t>Сидоров В.К.</t>
        </is>
      </c>
      <c r="I26" s="3" t="n">
        <v>111720</v>
      </c>
    </row>
    <row r="27">
      <c r="A27" t="inlineStr">
        <is>
          <t>TXN-0122</t>
        </is>
      </c>
      <c r="B27" s="2" t="n">
        <v>46239</v>
      </c>
      <c r="C27" t="inlineStr">
        <is>
          <t>Холодильник LG</t>
        </is>
      </c>
      <c r="D27" t="inlineStr">
        <is>
          <t>Холодильники</t>
        </is>
      </c>
      <c r="E27" s="3" t="n">
        <v>2</v>
      </c>
      <c r="F27" s="3" t="n">
        <v>105105</v>
      </c>
      <c r="G27" t="inlineStr">
        <is>
          <t>ДНС</t>
        </is>
      </c>
      <c r="H27" t="inlineStr">
        <is>
          <t>Сидоров В.К.</t>
        </is>
      </c>
      <c r="I27" s="3" t="n">
        <v>210210</v>
      </c>
    </row>
    <row r="28">
      <c r="A28" t="inlineStr">
        <is>
          <t>TXN-0151</t>
        </is>
      </c>
      <c r="B28" s="2" t="n">
        <v>46103</v>
      </c>
      <c r="C28" t="inlineStr">
        <is>
          <t>Микроволновая печь Midea</t>
        </is>
      </c>
      <c r="D28" t="inlineStr">
        <is>
          <t>Мелкая бытовая техника</t>
        </is>
      </c>
      <c r="E28" s="3" t="n">
        <v>1</v>
      </c>
      <c r="F28" s="3" t="n">
        <v>108928</v>
      </c>
      <c r="G28" t="inlineStr">
        <is>
          <t>ДНС</t>
        </is>
      </c>
      <c r="H28" t="inlineStr">
        <is>
          <t>Сидоров В.К.</t>
        </is>
      </c>
      <c r="I28" s="3" t="n">
        <v>108928</v>
      </c>
    </row>
    <row r="29">
      <c r="A29" t="inlineStr">
        <is>
          <t>TXN-0169</t>
        </is>
      </c>
      <c r="B29" s="2" t="n">
        <v>46105</v>
      </c>
      <c r="C29" t="inlineStr">
        <is>
          <t>Чайник Kitfort</t>
        </is>
      </c>
      <c r="D29" t="inlineStr">
        <is>
          <t>Мелкая бытовая техника</t>
        </is>
      </c>
      <c r="E29" s="3" t="n">
        <v>1</v>
      </c>
      <c r="F29" s="3" t="n">
        <v>127974</v>
      </c>
      <c r="G29" t="inlineStr">
        <is>
          <t>Яндекс.Маркет</t>
        </is>
      </c>
      <c r="H29" t="inlineStr">
        <is>
          <t>Петрова А.С.</t>
        </is>
      </c>
      <c r="I29" s="3" t="n">
        <v>127974</v>
      </c>
    </row>
    <row r="30">
      <c r="A30" t="inlineStr">
        <is>
          <t>TXN-0170</t>
        </is>
      </c>
      <c r="B30" s="2" t="n">
        <v>46305</v>
      </c>
      <c r="C30" t="inlineStr">
        <is>
          <t>Стиральная машина Bosch</t>
        </is>
      </c>
      <c r="D30" t="inlineStr">
        <is>
          <t>Стиральные машины</t>
        </is>
      </c>
      <c r="E30" s="3" t="n">
        <v>2</v>
      </c>
      <c r="F30" s="3" t="n">
        <v>122598</v>
      </c>
      <c r="G30" t="inlineStr">
        <is>
          <t>ДНС</t>
        </is>
      </c>
      <c r="H30" t="inlineStr">
        <is>
          <t>Смирнова Е.В.</t>
        </is>
      </c>
      <c r="I30" s="3" t="n">
        <v>245196</v>
      </c>
    </row>
    <row r="31">
      <c r="A31" t="inlineStr">
        <is>
          <t>TXN-0200</t>
        </is>
      </c>
      <c r="B31" s="2" t="n">
        <v>46188</v>
      </c>
      <c r="C31" t="inlineStr">
        <is>
          <t>Телевизор Samsung</t>
        </is>
      </c>
      <c r="D31" t="inlineStr">
        <is>
          <t>Телевизоры</t>
        </is>
      </c>
      <c r="E31" s="3" t="n">
        <v>2</v>
      </c>
      <c r="F31" s="3" t="n">
        <v>299278</v>
      </c>
      <c r="G31" t="inlineStr">
        <is>
          <t>ДНС</t>
        </is>
      </c>
      <c r="H31" t="inlineStr">
        <is>
          <t>Петрова А.С.</t>
        </is>
      </c>
      <c r="I31" s="3" t="n">
        <v>598556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36" customWidth="1" min="4" max="4"/>
    <col width="35" customWidth="1" min="5" max="5"/>
    <col width="24" customWidth="1" min="6" max="6"/>
  </cols>
  <sheetData>
    <row r="1" ht="30" customHeight="1">
      <c r="A1" s="1" t="inlineStr">
        <is>
          <t>Месяц</t>
        </is>
      </c>
      <c r="B1" s="1" t="inlineStr">
        <is>
          <t>Выручка, руб.</t>
        </is>
      </c>
      <c r="C1" s="1" t="inlineStr">
        <is>
          <t>Доля годовой выручки, %</t>
        </is>
      </c>
      <c r="D1" s="1" t="inlineStr">
        <is>
          <t>Изменение к предыдущему месяцу, руб.</t>
        </is>
      </c>
      <c r="E1" s="1" t="inlineStr">
        <is>
          <t>Изменение к предыдущему месяцу, %</t>
        </is>
      </c>
      <c r="F1" s="1" t="inlineStr">
        <is>
          <t>Среднее за месяц, руб.</t>
        </is>
      </c>
    </row>
    <row r="2">
      <c r="A2" t="inlineStr">
        <is>
          <t>Январь</t>
        </is>
      </c>
      <c r="B2" s="3" t="n">
        <v>413985</v>
      </c>
      <c r="C2" s="4" t="n">
        <v>5.335078250649511</v>
      </c>
      <c r="D2" s="3" t="n"/>
      <c r="E2" s="4" t="n"/>
      <c r="F2" s="3" t="n">
        <v>646640</v>
      </c>
    </row>
    <row r="3">
      <c r="A3" t="inlineStr">
        <is>
          <t>Февраль</t>
        </is>
      </c>
      <c r="B3" s="3" t="n">
        <v>1278414</v>
      </c>
      <c r="C3" s="4" t="n">
        <v>16.47508660150934</v>
      </c>
      <c r="D3" s="3" t="n">
        <v>864429</v>
      </c>
      <c r="E3" s="4" t="n">
        <v>208.8068408275662</v>
      </c>
      <c r="F3" s="3" t="n">
        <v>646640</v>
      </c>
    </row>
    <row r="4">
      <c r="A4" t="inlineStr">
        <is>
          <t>Март</t>
        </is>
      </c>
      <c r="B4" s="3" t="n">
        <v>1208502</v>
      </c>
      <c r="C4" s="4" t="n">
        <v>15.5741216132624</v>
      </c>
      <c r="D4" s="3" t="n">
        <v>-69912</v>
      </c>
      <c r="E4" s="4" t="n">
        <v>-5.468651000380159</v>
      </c>
      <c r="F4" s="3" t="n">
        <v>646640</v>
      </c>
    </row>
    <row r="5">
      <c r="A5" t="inlineStr">
        <is>
          <t>Апрель</t>
        </is>
      </c>
      <c r="B5" s="3" t="n">
        <v>526072</v>
      </c>
      <c r="C5" s="4" t="n">
        <v>6.779557919914224</v>
      </c>
      <c r="D5" s="3" t="n">
        <v>-682430</v>
      </c>
      <c r="E5" s="4" t="n">
        <v>-56.46908321210888</v>
      </c>
      <c r="F5" s="3" t="n">
        <v>646640</v>
      </c>
    </row>
    <row r="6">
      <c r="A6" t="inlineStr">
        <is>
          <t>Май</t>
        </is>
      </c>
      <c r="B6" s="3" t="n">
        <v>279840</v>
      </c>
      <c r="C6" s="4" t="n">
        <v>3.606334281826055</v>
      </c>
      <c r="D6" s="3" t="n">
        <v>-246232</v>
      </c>
      <c r="E6" s="4" t="n">
        <v>-46.80576042823036</v>
      </c>
      <c r="F6" s="3" t="n">
        <v>646640</v>
      </c>
    </row>
    <row r="7">
      <c r="A7" t="inlineStr">
        <is>
          <t>Июнь</t>
        </is>
      </c>
      <c r="B7" s="3" t="n">
        <v>598556</v>
      </c>
      <c r="C7" s="4" t="n">
        <v>7.713668604890923</v>
      </c>
      <c r="D7" s="3" t="n">
        <v>318716</v>
      </c>
      <c r="E7" s="4" t="n">
        <v>113.8922241280732</v>
      </c>
      <c r="F7" s="3" t="n">
        <v>646640</v>
      </c>
    </row>
    <row r="8">
      <c r="A8" t="inlineStr">
        <is>
          <t>Июль</t>
        </is>
      </c>
      <c r="B8" s="3" t="n">
        <v>234172</v>
      </c>
      <c r="C8" s="4" t="n">
        <v>3.017804857932286</v>
      </c>
      <c r="D8" s="3" t="n">
        <v>-364384</v>
      </c>
      <c r="E8" s="4" t="n">
        <v>-60.87717774109691</v>
      </c>
      <c r="F8" s="3" t="n">
        <v>646640</v>
      </c>
    </row>
    <row r="9">
      <c r="A9" t="inlineStr">
        <is>
          <t>Август</t>
        </is>
      </c>
      <c r="B9" s="3" t="n">
        <v>332508</v>
      </c>
      <c r="C9" s="4" t="n">
        <v>4.28507361128294</v>
      </c>
      <c r="D9" s="3" t="n">
        <v>98336</v>
      </c>
      <c r="E9" s="4" t="n">
        <v>41.99306492663512</v>
      </c>
      <c r="F9" s="3" t="n">
        <v>646640</v>
      </c>
    </row>
    <row r="10">
      <c r="A10" t="inlineStr">
        <is>
          <t>Сентябрь</t>
        </is>
      </c>
      <c r="B10" s="3" t="n">
        <v>127949</v>
      </c>
      <c r="C10" s="4" t="n">
        <v>1.648895315270733</v>
      </c>
      <c r="D10" s="3" t="n">
        <v>-204559</v>
      </c>
      <c r="E10" s="4" t="n">
        <v>-61.52002357838007</v>
      </c>
      <c r="F10" s="3" t="n">
        <v>646640</v>
      </c>
    </row>
    <row r="11">
      <c r="A11" t="inlineStr">
        <is>
          <t>Октябрь</t>
        </is>
      </c>
      <c r="B11" s="3" t="n">
        <v>716678</v>
      </c>
      <c r="C11" s="4" t="n">
        <v>9.235922099880407</v>
      </c>
      <c r="D11" s="3" t="n">
        <v>588729</v>
      </c>
      <c r="E11" s="4" t="n">
        <v>460.1278634455916</v>
      </c>
      <c r="F11" s="3" t="n">
        <v>646640</v>
      </c>
    </row>
    <row r="12">
      <c r="A12" t="inlineStr">
        <is>
          <t>Ноябрь</t>
        </is>
      </c>
      <c r="B12" s="3" t="n">
        <v>1794540</v>
      </c>
      <c r="C12" s="4" t="n">
        <v>23.12646913274774</v>
      </c>
      <c r="D12" s="3" t="n">
        <v>1077862</v>
      </c>
      <c r="E12" s="4" t="n">
        <v>150.3969704665136</v>
      </c>
      <c r="F12" s="3" t="n">
        <v>646640</v>
      </c>
    </row>
    <row r="13">
      <c r="A13" t="inlineStr">
        <is>
          <t>Декабрь</t>
        </is>
      </c>
      <c r="B13" s="3" t="n">
        <v>248464</v>
      </c>
      <c r="C13" s="4" t="n">
        <v>3.201987710833436</v>
      </c>
      <c r="D13" s="3" t="n">
        <v>-1546076</v>
      </c>
      <c r="E13" s="4" t="n">
        <v>-86.15444626478094</v>
      </c>
      <c r="F13" s="3" t="n">
        <v>646640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92" customWidth="1" min="2" max="2"/>
  </cols>
  <sheetData>
    <row r="1" ht="30" customHeight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Строк в исходном наборе</t>
        </is>
      </c>
      <c r="B2" t="n">
        <v>30</v>
      </c>
    </row>
    <row r="3">
      <c r="A3" t="inlineStr">
        <is>
          <t>Полных дубликатов</t>
        </is>
      </c>
      <c r="B3" t="n">
        <v>0</v>
      </c>
    </row>
    <row r="4">
      <c r="A4" t="inlineStr">
        <is>
          <t>Строк удалено</t>
        </is>
      </c>
      <c r="B4" t="n">
        <v>0</v>
      </c>
    </row>
    <row r="5">
      <c r="A5" t="inlineStr">
        <is>
          <t>Годовая выручка, руб.</t>
        </is>
      </c>
      <c r="B5" t="n">
        <v>7759680</v>
      </c>
    </row>
    <row r="6">
      <c r="A6" t="inlineStr">
        <is>
          <t>Средняя месячная выручка, руб.</t>
        </is>
      </c>
      <c r="B6" t="n">
        <v>646640</v>
      </c>
    </row>
    <row r="7">
      <c r="A7" t="inlineStr">
        <is>
          <t>Месяц максимальной выручки</t>
        </is>
      </c>
      <c r="B7" t="inlineStr">
        <is>
          <t>Ноябрь</t>
        </is>
      </c>
    </row>
    <row r="8">
      <c r="A8" t="inlineStr">
        <is>
          <t>Максимальная месячная выручка, руб.</t>
        </is>
      </c>
      <c r="B8" t="n">
        <v>1794540</v>
      </c>
    </row>
    <row r="9">
      <c r="A9" t="inlineStr">
        <is>
          <t>Месяц минимальной выручки</t>
        </is>
      </c>
      <c r="B9" t="inlineStr">
        <is>
          <t>Сентябрь</t>
        </is>
      </c>
    </row>
    <row r="10">
      <c r="A10" t="inlineStr">
        <is>
          <t>Минимальная месячная выручка, руб.</t>
        </is>
      </c>
      <c r="B10" t="n">
        <v>127949</v>
      </c>
    </row>
    <row r="11">
      <c r="A11" t="inlineStr">
        <is>
          <t>Размах месячной выручки, руб.</t>
        </is>
      </c>
      <c r="B11" t="n">
        <v>1666591</v>
      </c>
    </row>
    <row r="12">
      <c r="A12" t="inlineStr">
        <is>
          <t>Строк с зафиксированными исправлениями</t>
        </is>
      </c>
      <c r="B12" t="n">
        <v>27</v>
      </c>
    </row>
    <row r="13">
      <c r="A13" t="inlineStr">
        <is>
          <t>Количество исправлений по полям</t>
        </is>
      </c>
      <c r="B13" t="n">
        <v>47</v>
      </c>
    </row>
    <row r="14">
      <c r="A14" t="inlineStr">
        <is>
          <t>Интерпретация</t>
        </is>
      </c>
      <c r="B14" t="inlineStr">
        <is>
          <t>Выручка волатильна: максимум — ноябрь, минимум — сентябрь; устойчивого ежемесячного роста нет.</t>
        </is>
      </c>
    </row>
    <row r="15">
      <c r="A15" t="inlineStr">
        <is>
          <t>Проверить по первичному источнику</t>
        </is>
      </c>
      <c r="B15" t="inlineStr">
        <is>
          <t>TXN-0001: 897270 руб./шт. за утюг Philips — явный ценовой выброс. В clean-файле сохранён как получен: в приложенных условиях нет подтверждённого исправленного значения.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8" customWidth="1" min="4" max="4"/>
    <col width="38" customWidth="1" min="5" max="5"/>
  </cols>
  <sheetData>
    <row r="1" ht="30" customHeight="1">
      <c r="A1" s="1" t="inlineStr">
        <is>
          <t>Строка Excel</t>
        </is>
      </c>
      <c r="B1" s="1" t="inlineStr">
        <is>
          <t>transaction_id</t>
        </is>
      </c>
      <c r="C1" s="1" t="inlineStr">
        <is>
          <t>Поле</t>
        </is>
      </c>
      <c r="D1" s="1" t="inlineStr">
        <is>
          <t>Исходное значение</t>
        </is>
      </c>
      <c r="E1" s="1" t="inlineStr">
        <is>
          <t>Очищенное значение</t>
        </is>
      </c>
    </row>
    <row r="2">
      <c r="A2" t="n">
        <v>2</v>
      </c>
      <c r="B2" t="inlineStr">
        <is>
          <t>TXN-0001</t>
        </is>
      </c>
      <c r="C2" t="inlineStr">
        <is>
          <t>product</t>
        </is>
      </c>
      <c r="D2" t="inlineStr">
        <is>
          <t>утюг philips</t>
        </is>
      </c>
      <c r="E2" t="inlineStr">
        <is>
          <t>Утюг Philips</t>
        </is>
      </c>
    </row>
    <row r="3">
      <c r="A3" t="n">
        <v>2</v>
      </c>
      <c r="B3" t="inlineStr">
        <is>
          <t>TXN-0001</t>
        </is>
      </c>
      <c r="C3" t="inlineStr">
        <is>
          <t>category</t>
        </is>
      </c>
      <c r="D3" t="inlineStr">
        <is>
          <t>Пылесосы</t>
        </is>
      </c>
      <c r="E3" t="inlineStr">
        <is>
          <t>Мелкая бытовая техника</t>
        </is>
      </c>
    </row>
    <row r="4">
      <c r="A4" t="n">
        <v>3</v>
      </c>
      <c r="B4" t="inlineStr">
        <is>
          <t>TXN-0002</t>
        </is>
      </c>
      <c r="C4" t="inlineStr">
        <is>
          <t>category</t>
        </is>
      </c>
      <c r="D4" t="inlineStr">
        <is>
          <t>Стиральные машины</t>
        </is>
      </c>
      <c r="E4" t="inlineStr">
        <is>
          <t>Мелкая бытовая техника</t>
        </is>
      </c>
    </row>
    <row r="5">
      <c r="A5" t="n">
        <v>4</v>
      </c>
      <c r="B5" t="inlineStr">
        <is>
          <t>TXN-0008</t>
        </is>
      </c>
      <c r="C5" t="inlineStr">
        <is>
          <t>category</t>
        </is>
      </c>
      <c r="D5" t="inlineStr">
        <is>
          <t>Пылесосы</t>
        </is>
      </c>
      <c r="E5" t="inlineStr">
        <is>
          <t>Мелкая бытовая техника</t>
        </is>
      </c>
    </row>
    <row r="6">
      <c r="A6" t="n">
        <v>5</v>
      </c>
      <c r="B6" t="inlineStr">
        <is>
          <t>TXN-0012</t>
        </is>
      </c>
      <c r="C6" t="inlineStr">
        <is>
          <t>category</t>
        </is>
      </c>
      <c r="D6" t="inlineStr">
        <is>
          <t>Телевизоры</t>
        </is>
      </c>
      <c r="E6" t="inlineStr">
        <is>
          <t>Мелкая бытовая техника</t>
        </is>
      </c>
    </row>
    <row r="7">
      <c r="A7" t="n">
        <v>5</v>
      </c>
      <c r="B7" t="inlineStr">
        <is>
          <t>TXN-0012</t>
        </is>
      </c>
      <c r="C7" t="inlineStr">
        <is>
          <t>quantity</t>
        </is>
      </c>
      <c r="D7" t="inlineStr">
        <is>
          <t>3 шт.</t>
        </is>
      </c>
      <c r="E7" t="inlineStr">
        <is>
          <t>3</t>
        </is>
      </c>
    </row>
    <row r="8">
      <c r="A8" t="n">
        <v>6</v>
      </c>
      <c r="B8" t="inlineStr">
        <is>
          <t>TXN-0030</t>
        </is>
      </c>
      <c r="C8" t="inlineStr">
        <is>
          <t>category</t>
        </is>
      </c>
      <c r="D8" t="inlineStr">
        <is>
          <t>Стиральные машины</t>
        </is>
      </c>
      <c r="E8" t="inlineStr">
        <is>
          <t>Мелкая бытовая техника</t>
        </is>
      </c>
    </row>
    <row r="9">
      <c r="A9" t="n">
        <v>7</v>
      </c>
      <c r="B9" t="inlineStr">
        <is>
          <t>TXN-0039</t>
        </is>
      </c>
      <c r="C9" t="inlineStr">
        <is>
          <t>category</t>
        </is>
      </c>
      <c r="D9" t="inlineStr">
        <is>
          <t>Телевизоры</t>
        </is>
      </c>
      <c r="E9" t="inlineStr">
        <is>
          <t>Мелкая бытовая техника</t>
        </is>
      </c>
    </row>
    <row r="10">
      <c r="A10" t="n">
        <v>8</v>
      </c>
      <c r="B10" t="inlineStr">
        <is>
          <t>TXN-0040</t>
        </is>
      </c>
      <c r="C10" t="inlineStr">
        <is>
          <t>category</t>
        </is>
      </c>
      <c r="D10" t="inlineStr">
        <is>
          <t>телевизоры</t>
        </is>
      </c>
      <c r="E10" t="inlineStr">
        <is>
          <t>Пылесосы</t>
        </is>
      </c>
    </row>
    <row r="11">
      <c r="A11" t="n">
        <v>9</v>
      </c>
      <c r="B11" t="inlineStr">
        <is>
          <t>TXN-0044</t>
        </is>
      </c>
      <c r="C11" t="inlineStr">
        <is>
          <t>category</t>
        </is>
      </c>
      <c r="D11" t="inlineStr">
        <is>
          <t>Телевизоры</t>
        </is>
      </c>
      <c r="E11" t="inlineStr">
        <is>
          <t>Мелкая бытовая техника</t>
        </is>
      </c>
    </row>
    <row r="12">
      <c r="A12" t="n">
        <v>10</v>
      </c>
      <c r="B12" t="inlineStr">
        <is>
          <t>TXN-0045</t>
        </is>
      </c>
      <c r="C12" t="inlineStr">
        <is>
          <t>category</t>
        </is>
      </c>
      <c r="D12" t="inlineStr">
        <is>
          <t>Холодильники</t>
        </is>
      </c>
      <c r="E12" t="inlineStr">
        <is>
          <t>Мелкая бытовая техника</t>
        </is>
      </c>
    </row>
    <row r="13">
      <c r="A13" t="n">
        <v>10</v>
      </c>
      <c r="B13" t="inlineStr">
        <is>
          <t>TXN-0045</t>
        </is>
      </c>
      <c r="C13" t="inlineStr">
        <is>
          <t>manager</t>
        </is>
      </c>
      <c r="D13" t="inlineStr">
        <is>
          <t>смирнова е.в.</t>
        </is>
      </c>
      <c r="E13" t="inlineStr">
        <is>
          <t>Смирнова Е.В.</t>
        </is>
      </c>
    </row>
    <row r="14">
      <c r="A14" t="n">
        <v>12</v>
      </c>
      <c r="B14" t="inlineStr">
        <is>
          <t>TXN-0051</t>
        </is>
      </c>
      <c r="C14" t="inlineStr">
        <is>
          <t>transaction_id</t>
        </is>
      </c>
      <c r="D14" t="inlineStr">
        <is>
          <t>TXN0051</t>
        </is>
      </c>
      <c r="E14" t="inlineStr">
        <is>
          <t>TXN-0051</t>
        </is>
      </c>
    </row>
    <row r="15">
      <c r="A15" t="n">
        <v>12</v>
      </c>
      <c r="B15" t="inlineStr">
        <is>
          <t>TXN-0051</t>
        </is>
      </c>
      <c r="C15" t="inlineStr">
        <is>
          <t>category</t>
        </is>
      </c>
      <c r="D15" t="inlineStr">
        <is>
          <t>Мелкая бытовая техника</t>
        </is>
      </c>
      <c r="E15" t="inlineStr">
        <is>
          <t>Пылесосы</t>
        </is>
      </c>
    </row>
    <row r="16">
      <c r="A16" t="n">
        <v>13</v>
      </c>
      <c r="B16" t="inlineStr">
        <is>
          <t>TXN-0053</t>
        </is>
      </c>
      <c r="C16" t="inlineStr">
        <is>
          <t>category</t>
        </is>
      </c>
      <c r="D16" t="inlineStr">
        <is>
          <t>Мелкая бытовая техника</t>
        </is>
      </c>
      <c r="E16" t="inlineStr">
        <is>
          <t>Стиральные машины</t>
        </is>
      </c>
    </row>
    <row r="17">
      <c r="A17" t="n">
        <v>14</v>
      </c>
      <c r="B17" t="inlineStr">
        <is>
          <t>TXN-0075</t>
        </is>
      </c>
      <c r="C17" t="inlineStr">
        <is>
          <t>product</t>
        </is>
      </c>
      <c r="D17" t="inlineStr">
        <is>
          <t>Пылесос Dison</t>
        </is>
      </c>
      <c r="E17" t="inlineStr">
        <is>
          <t>Пылесос Dyson</t>
        </is>
      </c>
    </row>
    <row r="18">
      <c r="A18" t="n">
        <v>14</v>
      </c>
      <c r="B18" t="inlineStr">
        <is>
          <t>TXN-0075</t>
        </is>
      </c>
      <c r="C18" t="inlineStr">
        <is>
          <t>category</t>
        </is>
      </c>
      <c r="D18" t="inlineStr">
        <is>
          <t>Холодильники</t>
        </is>
      </c>
      <c r="E18" t="inlineStr">
        <is>
          <t>Пылесосы</t>
        </is>
      </c>
    </row>
    <row r="19">
      <c r="A19" t="n">
        <v>14</v>
      </c>
      <c r="B19" t="inlineStr">
        <is>
          <t>TXN-0075</t>
        </is>
      </c>
      <c r="C19" t="inlineStr">
        <is>
          <t>price</t>
        </is>
      </c>
      <c r="D19" t="inlineStr">
        <is>
          <t>294980 руб.</t>
        </is>
      </c>
      <c r="E19" t="inlineStr">
        <is>
          <t>294980</t>
        </is>
      </c>
    </row>
    <row r="20">
      <c r="A20" t="n">
        <v>15</v>
      </c>
      <c r="B20" t="inlineStr">
        <is>
          <t>TXN-0077</t>
        </is>
      </c>
      <c r="C20" t="inlineStr">
        <is>
          <t>category</t>
        </is>
      </c>
      <c r="D20" t="inlineStr">
        <is>
          <t>Пылесосы</t>
        </is>
      </c>
      <c r="E20" t="inlineStr">
        <is>
          <t>Мелкая бытовая техника</t>
        </is>
      </c>
    </row>
    <row r="21">
      <c r="A21" t="n">
        <v>15</v>
      </c>
      <c r="B21" t="inlineStr">
        <is>
          <t>TXN-0077</t>
        </is>
      </c>
      <c r="C21" t="inlineStr">
        <is>
          <t>quantity</t>
        </is>
      </c>
      <c r="D21" t="inlineStr">
        <is>
          <t>3 шт.</t>
        </is>
      </c>
      <c r="E21" t="inlineStr">
        <is>
          <t>3</t>
        </is>
      </c>
    </row>
    <row r="22">
      <c r="A22" t="n">
        <v>16</v>
      </c>
      <c r="B22" t="inlineStr">
        <is>
          <t>TXN-0083</t>
        </is>
      </c>
      <c r="C22" t="inlineStr">
        <is>
          <t>product</t>
        </is>
      </c>
      <c r="D22" t="inlineStr">
        <is>
          <t>телевизор samsung 4k</t>
        </is>
      </c>
      <c r="E22" t="inlineStr">
        <is>
          <t>Телевизор Samsung 4K</t>
        </is>
      </c>
    </row>
    <row r="23">
      <c r="A23" t="n">
        <v>16</v>
      </c>
      <c r="B23" t="inlineStr">
        <is>
          <t>TXN-0083</t>
        </is>
      </c>
      <c r="C23" t="inlineStr">
        <is>
          <t>category</t>
        </is>
      </c>
      <c r="D23" t="inlineStr">
        <is>
          <t>Стиральные машины</t>
        </is>
      </c>
      <c r="E23" t="inlineStr">
        <is>
          <t>Телевизоры</t>
        </is>
      </c>
    </row>
    <row r="24">
      <c r="A24" t="n">
        <v>17</v>
      </c>
      <c r="B24" t="inlineStr">
        <is>
          <t>TXN-0096</t>
        </is>
      </c>
      <c r="C24" t="inlineStr">
        <is>
          <t>product</t>
        </is>
      </c>
      <c r="D24" t="inlineStr">
        <is>
          <t>чайник kitfort</t>
        </is>
      </c>
      <c r="E24" t="inlineStr">
        <is>
          <t>Чайник Kitfort</t>
        </is>
      </c>
    </row>
    <row r="25">
      <c r="A25" t="n">
        <v>17</v>
      </c>
      <c r="B25" t="inlineStr">
        <is>
          <t>TXN-0096</t>
        </is>
      </c>
      <c r="C25" t="inlineStr">
        <is>
          <t>category</t>
        </is>
      </c>
      <c r="D25" t="inlineStr">
        <is>
          <t>мелкaя бытовaя техникa</t>
        </is>
      </c>
      <c r="E25" t="inlineStr">
        <is>
          <t>Мелкая бытовая техника</t>
        </is>
      </c>
    </row>
    <row r="26">
      <c r="A26" t="n">
        <v>18</v>
      </c>
      <c r="B26" t="inlineStr">
        <is>
          <t>TXN-0097</t>
        </is>
      </c>
      <c r="C26" t="inlineStr">
        <is>
          <t>product</t>
        </is>
      </c>
      <c r="D26" t="inlineStr">
        <is>
          <t>чайник kitfort</t>
        </is>
      </c>
      <c r="E26" t="inlineStr">
        <is>
          <t>Чайник Kitfort</t>
        </is>
      </c>
    </row>
    <row r="27">
      <c r="A27" t="n">
        <v>18</v>
      </c>
      <c r="B27" t="inlineStr">
        <is>
          <t>TXN-0097</t>
        </is>
      </c>
      <c r="C27" t="inlineStr">
        <is>
          <t>category</t>
        </is>
      </c>
      <c r="D27" t="inlineStr">
        <is>
          <t>Телевизоры</t>
        </is>
      </c>
      <c r="E27" t="inlineStr">
        <is>
          <t>Мелкая бытовая техника</t>
        </is>
      </c>
    </row>
    <row r="28">
      <c r="A28" t="n">
        <v>18</v>
      </c>
      <c r="B28" t="inlineStr">
        <is>
          <t>TXN-0097</t>
        </is>
      </c>
      <c r="C28" t="inlineStr">
        <is>
          <t>manager</t>
        </is>
      </c>
      <c r="D28" t="inlineStr">
        <is>
          <t>смирнова е.в.</t>
        </is>
      </c>
      <c r="E28" t="inlineStr">
        <is>
          <t>Смирнова Е.В.</t>
        </is>
      </c>
    </row>
    <row r="29">
      <c r="A29" t="n">
        <v>20</v>
      </c>
      <c r="B29" t="inlineStr">
        <is>
          <t>TXN-0101</t>
        </is>
      </c>
      <c r="C29" t="inlineStr">
        <is>
          <t>category</t>
        </is>
      </c>
      <c r="D29" t="inlineStr">
        <is>
          <t>Мелкая бытовая техника</t>
        </is>
      </c>
      <c r="E29" t="inlineStr">
        <is>
          <t>Стиральные машины</t>
        </is>
      </c>
    </row>
    <row r="30">
      <c r="A30" t="n">
        <v>21</v>
      </c>
      <c r="B30" t="inlineStr">
        <is>
          <t>TXN-0102</t>
        </is>
      </c>
      <c r="C30" t="inlineStr">
        <is>
          <t>product</t>
        </is>
      </c>
      <c r="D30" t="inlineStr">
        <is>
          <t xml:space="preserve"> Пылесос Dyson </t>
        </is>
      </c>
      <c r="E30" t="inlineStr">
        <is>
          <t>Пылесос Dyson</t>
        </is>
      </c>
    </row>
    <row r="31">
      <c r="A31" t="n">
        <v>21</v>
      </c>
      <c r="B31" t="inlineStr">
        <is>
          <t>TXN-0102</t>
        </is>
      </c>
      <c r="C31" t="inlineStr">
        <is>
          <t>category</t>
        </is>
      </c>
      <c r="D31" t="inlineStr">
        <is>
          <t>Стиральные машины</t>
        </is>
      </c>
      <c r="E31" t="inlineStr">
        <is>
          <t>Пылесосы</t>
        </is>
      </c>
    </row>
    <row r="32">
      <c r="A32" t="n">
        <v>22</v>
      </c>
      <c r="B32" t="inlineStr">
        <is>
          <t>TXN-0104</t>
        </is>
      </c>
      <c r="C32" t="inlineStr">
        <is>
          <t>product</t>
        </is>
      </c>
      <c r="D32" t="inlineStr">
        <is>
          <t>чайник kitfort</t>
        </is>
      </c>
      <c r="E32" t="inlineStr">
        <is>
          <t>Чайник Kitfort</t>
        </is>
      </c>
    </row>
    <row r="33">
      <c r="A33" t="n">
        <v>22</v>
      </c>
      <c r="B33" t="inlineStr">
        <is>
          <t>TXN-0104</t>
        </is>
      </c>
      <c r="C33" t="inlineStr">
        <is>
          <t>category</t>
        </is>
      </c>
      <c r="D33" t="inlineStr">
        <is>
          <t>Телевизоры</t>
        </is>
      </c>
      <c r="E33" t="inlineStr">
        <is>
          <t>Мелкая бытовая техника</t>
        </is>
      </c>
    </row>
    <row r="34">
      <c r="A34" t="n">
        <v>22</v>
      </c>
      <c r="B34" t="inlineStr">
        <is>
          <t>TXN-0104</t>
        </is>
      </c>
      <c r="C34" t="inlineStr">
        <is>
          <t>price</t>
        </is>
      </c>
      <c r="D34" t="inlineStr">
        <is>
          <t>119733 руб.</t>
        </is>
      </c>
      <c r="E34" t="inlineStr">
        <is>
          <t>119733</t>
        </is>
      </c>
    </row>
    <row r="35">
      <c r="A35" t="n">
        <v>23</v>
      </c>
      <c r="B35" t="inlineStr">
        <is>
          <t>TXN-0107</t>
        </is>
      </c>
      <c r="C35" t="inlineStr">
        <is>
          <t>category</t>
        </is>
      </c>
      <c r="D35" t="inlineStr">
        <is>
          <t>Телевизоры</t>
        </is>
      </c>
      <c r="E35" t="inlineStr">
        <is>
          <t>Стиральные машины</t>
        </is>
      </c>
    </row>
    <row r="36">
      <c r="A36" t="n">
        <v>23</v>
      </c>
      <c r="B36" t="inlineStr">
        <is>
          <t>TXN-0107</t>
        </is>
      </c>
      <c r="C36" t="inlineStr">
        <is>
          <t>quantity</t>
        </is>
      </c>
      <c r="D36" t="inlineStr">
        <is>
          <t>1 шт.</t>
        </is>
      </c>
      <c r="E36" t="inlineStr">
        <is>
          <t>1</t>
        </is>
      </c>
    </row>
    <row r="37">
      <c r="A37" t="n">
        <v>24</v>
      </c>
      <c r="B37" t="inlineStr">
        <is>
          <t>TXN-0108</t>
        </is>
      </c>
      <c r="C37" t="inlineStr">
        <is>
          <t>category</t>
        </is>
      </c>
      <c r="D37" t="inlineStr">
        <is>
          <t>Стиральные машины</t>
        </is>
      </c>
      <c r="E37" t="inlineStr">
        <is>
          <t>Мелкая бытовая техника</t>
        </is>
      </c>
    </row>
    <row r="38">
      <c r="A38" t="n">
        <v>25</v>
      </c>
      <c r="B38" t="inlineStr">
        <is>
          <t>TXN-0116</t>
        </is>
      </c>
      <c r="C38" t="inlineStr">
        <is>
          <t>product</t>
        </is>
      </c>
      <c r="D38" t="inlineStr">
        <is>
          <t>Пылесос Dison</t>
        </is>
      </c>
      <c r="E38" t="inlineStr">
        <is>
          <t>Пылесос Dyson</t>
        </is>
      </c>
    </row>
    <row r="39">
      <c r="A39" t="n">
        <v>25</v>
      </c>
      <c r="B39" t="inlineStr">
        <is>
          <t>TXN-0116</t>
        </is>
      </c>
      <c r="C39" t="inlineStr">
        <is>
          <t>category</t>
        </is>
      </c>
      <c r="D39" t="inlineStr">
        <is>
          <t>Холодильники</t>
        </is>
      </c>
      <c r="E39" t="inlineStr">
        <is>
          <t>Пылесосы</t>
        </is>
      </c>
    </row>
    <row r="40">
      <c r="A40" t="n">
        <v>26</v>
      </c>
      <c r="B40" t="inlineStr">
        <is>
          <t>TXN-0117</t>
        </is>
      </c>
      <c r="C40" t="inlineStr">
        <is>
          <t>category</t>
        </is>
      </c>
      <c r="D40" t="inlineStr">
        <is>
          <t>Пылесосы</t>
        </is>
      </c>
      <c r="E40" t="inlineStr">
        <is>
          <t>Стиральные машины</t>
        </is>
      </c>
    </row>
    <row r="41">
      <c r="A41" t="n">
        <v>27</v>
      </c>
      <c r="B41" t="inlineStr">
        <is>
          <t>TXN-0122</t>
        </is>
      </c>
      <c r="C41" t="inlineStr">
        <is>
          <t>category</t>
        </is>
      </c>
      <c r="D41" t="inlineStr">
        <is>
          <t>пылесосы</t>
        </is>
      </c>
      <c r="E41" t="inlineStr">
        <is>
          <t>Холодильники</t>
        </is>
      </c>
    </row>
    <row r="42">
      <c r="A42" t="n">
        <v>28</v>
      </c>
      <c r="B42" t="inlineStr">
        <is>
          <t>TXN-0151</t>
        </is>
      </c>
      <c r="C42" t="inlineStr">
        <is>
          <t>product</t>
        </is>
      </c>
      <c r="D42" t="inlineStr">
        <is>
          <t>микроволновая печь midea</t>
        </is>
      </c>
      <c r="E42" t="inlineStr">
        <is>
          <t>Микроволновая печь Midea</t>
        </is>
      </c>
    </row>
    <row r="43">
      <c r="A43" t="n">
        <v>28</v>
      </c>
      <c r="B43" t="inlineStr">
        <is>
          <t>TXN-0151</t>
        </is>
      </c>
      <c r="C43" t="inlineStr">
        <is>
          <t>category</t>
        </is>
      </c>
      <c r="D43" t="inlineStr"/>
      <c r="E43" t="inlineStr">
        <is>
          <t>Мелкая бытовая техника</t>
        </is>
      </c>
    </row>
    <row r="44">
      <c r="A44" t="n">
        <v>28</v>
      </c>
      <c r="B44" t="inlineStr">
        <is>
          <t>TXN-0151</t>
        </is>
      </c>
      <c r="C44" t="inlineStr">
        <is>
          <t>price</t>
        </is>
      </c>
      <c r="D44" t="inlineStr">
        <is>
          <t>108928 рублей</t>
        </is>
      </c>
      <c r="E44" t="inlineStr">
        <is>
          <t>108928</t>
        </is>
      </c>
    </row>
    <row r="45">
      <c r="A45" t="n">
        <v>29</v>
      </c>
      <c r="B45" t="inlineStr">
        <is>
          <t>TXN-0169</t>
        </is>
      </c>
      <c r="C45" t="inlineStr">
        <is>
          <t>category</t>
        </is>
      </c>
      <c r="D45" t="inlineStr">
        <is>
          <t>Холодильники</t>
        </is>
      </c>
      <c r="E45" t="inlineStr">
        <is>
          <t>Мелкая бытовая техника</t>
        </is>
      </c>
    </row>
    <row r="46">
      <c r="A46" t="n">
        <v>30</v>
      </c>
      <c r="B46" t="inlineStr">
        <is>
          <t>TXN-0170</t>
        </is>
      </c>
      <c r="C46" t="inlineStr">
        <is>
          <t>product</t>
        </is>
      </c>
      <c r="D46" t="inlineStr">
        <is>
          <t>стиральная машина bosch</t>
        </is>
      </c>
      <c r="E46" t="inlineStr">
        <is>
          <t>Стиральная машина Bosch</t>
        </is>
      </c>
    </row>
    <row r="47">
      <c r="A47" t="n">
        <v>30</v>
      </c>
      <c r="B47" t="inlineStr">
        <is>
          <t>TXN-0170</t>
        </is>
      </c>
      <c r="C47" t="inlineStr">
        <is>
          <t>category</t>
        </is>
      </c>
      <c r="D47" t="inlineStr">
        <is>
          <t>Пылесосы</t>
        </is>
      </c>
      <c r="E47" t="inlineStr">
        <is>
          <t>Стиральные машины</t>
        </is>
      </c>
    </row>
    <row r="48">
      <c r="A48" t="n">
        <v>30</v>
      </c>
      <c r="B48" t="inlineStr">
        <is>
          <t>TXN-0170</t>
        </is>
      </c>
      <c r="C48" t="inlineStr">
        <is>
          <t>manager</t>
        </is>
      </c>
      <c r="D48" t="inlineStr">
        <is>
          <t>смирнова е.в.</t>
        </is>
      </c>
      <c r="E48" t="inlineStr">
        <is>
          <t>Смирнова Е.В.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Анализ продаж за 2026 год</dc:title>
  <dc:subject xmlns:dc="http://purl.org/dc/elements/1.1/">Месячная выручка, среднее значение и временной ряд</dc:subject>
  <dcterms:created xmlns:dcterms="http://purl.org/dc/terms/" xmlns:xsi="http://www.w3.org/2001/XMLSchema-instance" xsi:type="dcterms:W3CDTF">2026-10-07T16:26:43Z</dcterms:created>
  <dcterms:modified xmlns:dcterms="http://purl.org/dc/terms/" xmlns:xsi="http://www.w3.org/2001/XMLSchema-instance" xsi:type="dcterms:W3CDTF">2026-10-07T16:26:43Z</dcterms:modified>
</cp:coreProperties>
</file>